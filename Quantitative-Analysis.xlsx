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<sst xmlns="http://schemas.openxmlformats.org/spreadsheetml/2006/main" count="62" uniqueCount="34">
  <si>
    <t xml:space="preserve">SUS Scores</t>
  </si>
  <si>
    <t xml:space="preserve">Easy</t>
  </si>
  <si>
    <t xml:space="preserve">Hard</t>
  </si>
  <si>
    <t xml:space="preserve">SUS Question</t>
  </si>
  <si>
    <t xml:space="preserve">Yishan Chen</t>
  </si>
  <si>
    <t xml:space="preserve">Yuetong Dong</t>
  </si>
  <si>
    <t xml:space="preserve">Leon</t>
  </si>
  <si>
    <t xml:space="preserve">Adam</t>
  </si>
  <si>
    <t xml:space="preserve">Xiaobo</t>
  </si>
  <si>
    <t xml:space="preserve">Maram</t>
  </si>
  <si>
    <t xml:space="preserve">Fan Fan</t>
  </si>
  <si>
    <t xml:space="preserve">Chung</t>
  </si>
  <si>
    <t xml:space="preserve">Mahesh</t>
  </si>
  <si>
    <t xml:space="preserve">Casey</t>
  </si>
  <si>
    <t xml:space="preserve">Omnia</t>
  </si>
  <si>
    <t xml:space="preserve">NASA TLX</t>
  </si>
  <si>
    <t xml:space="preserve">Mental Demand</t>
  </si>
  <si>
    <t xml:space="preserve">Physical Demand</t>
  </si>
  <si>
    <t xml:space="preserve">Temporal Demand</t>
  </si>
  <si>
    <t xml:space="preserve">Performance</t>
  </si>
  <si>
    <t xml:space="preserve">Effort</t>
  </si>
  <si>
    <t xml:space="preserve">Frustration</t>
  </si>
  <si>
    <t xml:space="preserve">Aggregate</t>
  </si>
  <si>
    <t xml:space="preserve">SUS Score Contributions</t>
  </si>
  <si>
    <t xml:space="preserve">Total</t>
  </si>
  <si>
    <t xml:space="preserve">NASA TLX Aggregates:</t>
  </si>
  <si>
    <t xml:space="preserve">W Value</t>
  </si>
  <si>
    <t xml:space="preserve">N</t>
  </si>
  <si>
    <t xml:space="preserve">Confidence</t>
  </si>
  <si>
    <t xml:space="preserve">Critical W</t>
  </si>
  <si>
    <t xml:space="preserve">Result</t>
  </si>
  <si>
    <t xml:space="preserve">Significant</t>
  </si>
  <si>
    <t xml:space="preserve">SUS Totals:</t>
  </si>
  <si>
    <t xml:space="preserve">Insignificant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</si>
</sst>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2"/>
  <sheetViews>
    <sheetView showFormulas="false" showGridLines="true" showRowColHeaders="true" showZeros="true" rightToLeft="false" tabSelected="true" showOutlineSymbols="true" defaultGridColor="true" view="normal" topLeftCell="A40" colorId="64" zoomScale="120" zoomScaleNormal="120" zoomScalePageLayoutView="100" workbookViewId="0">
      <selection pane="topLeft" activeCell="C54" activeCellId="0" sqref="C5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1.49"/>
    <col collapsed="false" customWidth="false" hidden="false" outlineLevel="0" max="16384" min="2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1</v>
      </c>
      <c r="E1" s="2" t="s">
        <v>2</v>
      </c>
      <c r="F1" s="2" t="s">
        <v>1</v>
      </c>
      <c r="G1" s="2" t="s">
        <v>2</v>
      </c>
      <c r="H1" s="2" t="s">
        <v>1</v>
      </c>
      <c r="I1" s="2" t="s">
        <v>2</v>
      </c>
      <c r="J1" s="2" t="s">
        <v>1</v>
      </c>
      <c r="K1" s="2" t="s">
        <v>2</v>
      </c>
      <c r="L1" s="2" t="s">
        <v>1</v>
      </c>
      <c r="M1" s="2" t="s">
        <v>2</v>
      </c>
      <c r="N1" s="2" t="s">
        <v>1</v>
      </c>
      <c r="O1" s="2" t="s">
        <v>2</v>
      </c>
      <c r="P1" s="2" t="s">
        <v>1</v>
      </c>
      <c r="Q1" s="2" t="s">
        <v>2</v>
      </c>
      <c r="R1" s="2" t="s">
        <v>1</v>
      </c>
      <c r="S1" s="2" t="s">
        <v>2</v>
      </c>
      <c r="T1" s="2" t="s">
        <v>1</v>
      </c>
      <c r="U1" s="2" t="s">
        <v>2</v>
      </c>
      <c r="V1" s="2" t="s">
        <v>1</v>
      </c>
      <c r="W1" s="2" t="s">
        <v>2</v>
      </c>
    </row>
    <row r="2" customFormat="false" ht="15.75" hidden="false" customHeight="false" outlineLevel="0" collapsed="false">
      <c r="A2" s="2" t="s">
        <v>3</v>
      </c>
      <c r="B2" s="2" t="s">
        <v>4</v>
      </c>
      <c r="D2" s="2" t="s">
        <v>5</v>
      </c>
      <c r="F2" s="2" t="s">
        <v>6</v>
      </c>
      <c r="H2" s="2" t="s">
        <v>7</v>
      </c>
      <c r="J2" s="2" t="s">
        <v>8</v>
      </c>
      <c r="L2" s="2" t="s">
        <v>9</v>
      </c>
      <c r="N2" s="2" t="s">
        <v>10</v>
      </c>
      <c r="P2" s="2" t="s">
        <v>11</v>
      </c>
      <c r="R2" s="1" t="s">
        <v>12</v>
      </c>
      <c r="T2" s="1" t="s">
        <v>13</v>
      </c>
      <c r="V2" s="1" t="s">
        <v>14</v>
      </c>
    </row>
    <row r="3" customFormat="false" ht="13.8" hidden="false" customHeight="false" outlineLevel="0" collapsed="false">
      <c r="A3" s="2" t="n">
        <v>1</v>
      </c>
      <c r="B3" s="2" t="n">
        <v>4</v>
      </c>
      <c r="C3" s="2" t="n">
        <v>3</v>
      </c>
      <c r="D3" s="2" t="n">
        <v>4</v>
      </c>
      <c r="E3" s="2" t="n">
        <v>3</v>
      </c>
      <c r="F3" s="2" t="n">
        <v>5</v>
      </c>
      <c r="G3" s="2" t="n">
        <v>5</v>
      </c>
      <c r="H3" s="2" t="n">
        <v>4</v>
      </c>
      <c r="I3" s="2" t="n">
        <v>4</v>
      </c>
      <c r="J3" s="2" t="n">
        <v>3</v>
      </c>
      <c r="K3" s="2" t="n">
        <v>5</v>
      </c>
      <c r="L3" s="2" t="n">
        <v>4</v>
      </c>
      <c r="M3" s="2" t="n">
        <v>3</v>
      </c>
      <c r="N3" s="2" t="n">
        <v>4</v>
      </c>
      <c r="O3" s="2" t="n">
        <v>4</v>
      </c>
      <c r="P3" s="2" t="n">
        <v>5</v>
      </c>
      <c r="Q3" s="2" t="n">
        <v>5</v>
      </c>
      <c r="R3" s="1" t="n">
        <v>4</v>
      </c>
      <c r="S3" s="1" t="n">
        <v>4</v>
      </c>
      <c r="T3" s="1" t="n">
        <v>4</v>
      </c>
      <c r="U3" s="1" t="n">
        <v>4</v>
      </c>
      <c r="V3" s="1" t="n">
        <v>5</v>
      </c>
      <c r="W3" s="1" t="n">
        <v>4</v>
      </c>
    </row>
    <row r="4" customFormat="false" ht="13.8" hidden="false" customHeight="false" outlineLevel="0" collapsed="false">
      <c r="A4" s="2" t="n">
        <v>2</v>
      </c>
      <c r="B4" s="2" t="n">
        <v>2</v>
      </c>
      <c r="C4" s="2" t="n">
        <v>2</v>
      </c>
      <c r="D4" s="2" t="n">
        <v>2</v>
      </c>
      <c r="E4" s="2" t="n">
        <v>2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2</v>
      </c>
      <c r="M4" s="2" t="n">
        <v>3</v>
      </c>
      <c r="N4" s="2" t="n">
        <v>1</v>
      </c>
      <c r="O4" s="2" t="n">
        <v>1</v>
      </c>
      <c r="P4" s="2" t="n">
        <v>1</v>
      </c>
      <c r="Q4" s="2" t="n">
        <v>1</v>
      </c>
      <c r="R4" s="1" t="n">
        <v>1</v>
      </c>
      <c r="S4" s="1" t="n">
        <v>1</v>
      </c>
      <c r="T4" s="1" t="n">
        <v>2</v>
      </c>
      <c r="U4" s="1" t="n">
        <v>2</v>
      </c>
      <c r="V4" s="1" t="n">
        <v>2</v>
      </c>
      <c r="W4" s="1" t="n">
        <v>2</v>
      </c>
    </row>
    <row r="5" customFormat="false" ht="13.8" hidden="false" customHeight="false" outlineLevel="0" collapsed="false">
      <c r="A5" s="2" t="n">
        <v>3</v>
      </c>
      <c r="B5" s="2" t="n">
        <v>2</v>
      </c>
      <c r="C5" s="2" t="n">
        <v>2</v>
      </c>
      <c r="D5" s="2" t="n">
        <v>2</v>
      </c>
      <c r="E5" s="2" t="n">
        <v>2</v>
      </c>
      <c r="F5" s="2" t="n">
        <v>3</v>
      </c>
      <c r="G5" s="2" t="n">
        <v>3</v>
      </c>
      <c r="H5" s="2" t="n">
        <v>2</v>
      </c>
      <c r="I5" s="2" t="n">
        <v>3</v>
      </c>
      <c r="J5" s="2" t="n">
        <v>3</v>
      </c>
      <c r="K5" s="2" t="n">
        <v>3</v>
      </c>
      <c r="L5" s="2" t="n">
        <v>4</v>
      </c>
      <c r="M5" s="2" t="n">
        <v>3</v>
      </c>
      <c r="N5" s="2" t="n">
        <v>4</v>
      </c>
      <c r="O5" s="2" t="n">
        <v>4</v>
      </c>
      <c r="P5" s="2" t="n">
        <v>3</v>
      </c>
      <c r="Q5" s="2" t="n">
        <v>3</v>
      </c>
      <c r="R5" s="1" t="n">
        <v>3</v>
      </c>
      <c r="S5" s="1" t="n">
        <v>4</v>
      </c>
      <c r="T5" s="1" t="n">
        <v>4</v>
      </c>
      <c r="U5" s="1" t="n">
        <v>4</v>
      </c>
      <c r="V5" s="1" t="n">
        <v>4</v>
      </c>
      <c r="W5" s="1" t="n">
        <v>5</v>
      </c>
    </row>
    <row r="6" customFormat="false" ht="13.8" hidden="false" customHeight="false" outlineLevel="0" collapsed="false">
      <c r="A6" s="2" t="n">
        <v>4</v>
      </c>
      <c r="B6" s="2" t="n">
        <v>4</v>
      </c>
      <c r="C6" s="2" t="n">
        <v>5</v>
      </c>
      <c r="D6" s="2" t="n">
        <v>4</v>
      </c>
      <c r="E6" s="2" t="n">
        <v>4</v>
      </c>
      <c r="F6" s="2" t="n">
        <v>1</v>
      </c>
      <c r="G6" s="2" t="n">
        <v>1</v>
      </c>
      <c r="H6" s="2" t="n">
        <v>4</v>
      </c>
      <c r="I6" s="2" t="n">
        <v>4</v>
      </c>
      <c r="J6" s="2" t="n">
        <v>1</v>
      </c>
      <c r="K6" s="2" t="n">
        <v>1</v>
      </c>
      <c r="L6" s="2" t="n">
        <v>3</v>
      </c>
      <c r="M6" s="2" t="n">
        <v>4</v>
      </c>
      <c r="N6" s="2" t="n">
        <v>4</v>
      </c>
      <c r="O6" s="2" t="n">
        <v>4</v>
      </c>
      <c r="P6" s="2" t="n">
        <v>1</v>
      </c>
      <c r="Q6" s="2" t="n">
        <v>2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  <c r="W6" s="1" t="n">
        <v>1</v>
      </c>
    </row>
    <row r="7" customFormat="false" ht="13.8" hidden="false" customHeight="false" outlineLevel="0" collapsed="false">
      <c r="A7" s="2" t="n">
        <v>5</v>
      </c>
      <c r="B7" s="2" t="n">
        <v>4</v>
      </c>
      <c r="C7" s="2" t="n">
        <v>3</v>
      </c>
      <c r="D7" s="2" t="n">
        <v>3</v>
      </c>
      <c r="E7" s="2" t="n">
        <v>5</v>
      </c>
      <c r="F7" s="2" t="n">
        <v>5</v>
      </c>
      <c r="G7" s="2" t="n">
        <v>5</v>
      </c>
      <c r="H7" s="2" t="n">
        <v>5</v>
      </c>
      <c r="I7" s="2" t="n">
        <v>5</v>
      </c>
      <c r="J7" s="2" t="n">
        <v>4</v>
      </c>
      <c r="K7" s="2" t="n">
        <v>4</v>
      </c>
      <c r="L7" s="2" t="n">
        <v>3</v>
      </c>
      <c r="M7" s="2" t="n">
        <v>4</v>
      </c>
      <c r="N7" s="2" t="n">
        <v>5</v>
      </c>
      <c r="O7" s="2" t="n">
        <v>5</v>
      </c>
      <c r="P7" s="2" t="n">
        <v>4</v>
      </c>
      <c r="Q7" s="2" t="n">
        <v>4</v>
      </c>
      <c r="R7" s="1" t="n">
        <v>5</v>
      </c>
      <c r="S7" s="1" t="n">
        <v>5</v>
      </c>
      <c r="T7" s="1" t="n">
        <v>5</v>
      </c>
      <c r="U7" s="1" t="n">
        <v>5</v>
      </c>
      <c r="V7" s="1" t="n">
        <v>5</v>
      </c>
      <c r="W7" s="1" t="n">
        <v>5</v>
      </c>
    </row>
    <row r="8" customFormat="false" ht="13.8" hidden="false" customHeight="false" outlineLevel="0" collapsed="false">
      <c r="A8" s="2" t="n">
        <v>6</v>
      </c>
      <c r="B8" s="2" t="n">
        <v>1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1</v>
      </c>
      <c r="L8" s="2" t="n">
        <v>2</v>
      </c>
      <c r="M8" s="2" t="n">
        <v>2</v>
      </c>
      <c r="N8" s="2" t="n">
        <v>2</v>
      </c>
      <c r="O8" s="2" t="n">
        <v>2</v>
      </c>
      <c r="P8" s="2" t="n">
        <v>1</v>
      </c>
      <c r="Q8" s="2" t="n">
        <v>1</v>
      </c>
      <c r="R8" s="1" t="n">
        <v>1</v>
      </c>
      <c r="S8" s="1" t="n">
        <v>1</v>
      </c>
      <c r="T8" s="1" t="n">
        <v>2</v>
      </c>
      <c r="U8" s="1" t="n">
        <v>3</v>
      </c>
      <c r="V8" s="1" t="n">
        <v>1</v>
      </c>
      <c r="W8" s="1" t="n">
        <v>1</v>
      </c>
    </row>
    <row r="9" customFormat="false" ht="13.8" hidden="false" customHeight="false" outlineLevel="0" collapsed="false">
      <c r="A9" s="2" t="n">
        <v>7</v>
      </c>
      <c r="B9" s="2" t="n">
        <v>3</v>
      </c>
      <c r="C9" s="2" t="n">
        <v>2</v>
      </c>
      <c r="D9" s="2" t="n">
        <v>3</v>
      </c>
      <c r="E9" s="2" t="n">
        <v>2</v>
      </c>
      <c r="F9" s="2" t="n">
        <v>3</v>
      </c>
      <c r="G9" s="2" t="n">
        <v>3</v>
      </c>
      <c r="H9" s="2" t="n">
        <v>3</v>
      </c>
      <c r="I9" s="2" t="n">
        <v>3</v>
      </c>
      <c r="J9" s="2" t="n">
        <v>3</v>
      </c>
      <c r="K9" s="2" t="n">
        <v>5</v>
      </c>
      <c r="L9" s="2" t="n">
        <v>3</v>
      </c>
      <c r="M9" s="2" t="n">
        <v>2</v>
      </c>
      <c r="N9" s="2" t="n">
        <v>5</v>
      </c>
      <c r="O9" s="2" t="n">
        <v>5</v>
      </c>
      <c r="P9" s="2" t="n">
        <v>5</v>
      </c>
      <c r="Q9" s="2" t="n">
        <v>5</v>
      </c>
      <c r="R9" s="1" t="n">
        <v>3</v>
      </c>
      <c r="S9" s="1" t="n">
        <v>4</v>
      </c>
      <c r="T9" s="1" t="n">
        <v>3</v>
      </c>
      <c r="U9" s="1" t="n">
        <v>2</v>
      </c>
      <c r="V9" s="1" t="n">
        <v>4</v>
      </c>
      <c r="W9" s="1" t="n">
        <v>1</v>
      </c>
    </row>
    <row r="10" customFormat="false" ht="13.8" hidden="false" customHeight="false" outlineLevel="0" collapsed="false">
      <c r="A10" s="2" t="n">
        <v>8</v>
      </c>
      <c r="B10" s="2" t="n">
        <v>3</v>
      </c>
      <c r="C10" s="2" t="n">
        <v>4</v>
      </c>
      <c r="D10" s="2" t="n">
        <v>3</v>
      </c>
      <c r="E10" s="2" t="n">
        <v>3</v>
      </c>
      <c r="F10" s="2" t="n">
        <v>3</v>
      </c>
      <c r="G10" s="2" t="n">
        <v>2</v>
      </c>
      <c r="H10" s="2" t="n">
        <v>3</v>
      </c>
      <c r="I10" s="2" t="n">
        <v>3</v>
      </c>
      <c r="J10" s="2" t="n">
        <v>3</v>
      </c>
      <c r="K10" s="2" t="n">
        <v>2</v>
      </c>
      <c r="L10" s="2" t="n">
        <v>4</v>
      </c>
      <c r="M10" s="2" t="n">
        <v>3</v>
      </c>
      <c r="N10" s="2" t="n">
        <v>2</v>
      </c>
      <c r="O10" s="2" t="n">
        <v>2</v>
      </c>
      <c r="P10" s="2" t="n">
        <v>4</v>
      </c>
      <c r="Q10" s="2" t="n">
        <v>3</v>
      </c>
      <c r="R10" s="1" t="n">
        <v>3</v>
      </c>
      <c r="S10" s="1" t="n">
        <v>3</v>
      </c>
      <c r="T10" s="1" t="n">
        <v>2</v>
      </c>
      <c r="U10" s="1" t="n">
        <v>3</v>
      </c>
      <c r="V10" s="1" t="n">
        <v>2</v>
      </c>
      <c r="W10" s="1" t="n">
        <v>2</v>
      </c>
    </row>
    <row r="11" customFormat="false" ht="13.8" hidden="false" customHeight="false" outlineLevel="0" collapsed="false">
      <c r="A11" s="2" t="n">
        <v>9</v>
      </c>
      <c r="B11" s="2" t="n">
        <v>2</v>
      </c>
      <c r="C11" s="2" t="n">
        <v>2</v>
      </c>
      <c r="D11" s="2" t="n">
        <v>2</v>
      </c>
      <c r="E11" s="2" t="n">
        <v>2</v>
      </c>
      <c r="F11" s="2" t="n">
        <v>4</v>
      </c>
      <c r="G11" s="2" t="n">
        <v>5</v>
      </c>
      <c r="H11" s="2" t="n">
        <v>2</v>
      </c>
      <c r="I11" s="2" t="n">
        <v>2</v>
      </c>
      <c r="J11" s="2" t="n">
        <v>2</v>
      </c>
      <c r="K11" s="2" t="n">
        <v>3</v>
      </c>
      <c r="L11" s="2" t="n">
        <v>4</v>
      </c>
      <c r="M11" s="2" t="n">
        <v>3</v>
      </c>
      <c r="N11" s="2" t="n">
        <v>3</v>
      </c>
      <c r="O11" s="2" t="n">
        <v>3</v>
      </c>
      <c r="P11" s="2" t="n">
        <v>4</v>
      </c>
      <c r="Q11" s="2" t="n">
        <v>4</v>
      </c>
      <c r="R11" s="1" t="n">
        <v>3</v>
      </c>
      <c r="S11" s="1" t="n">
        <v>4</v>
      </c>
      <c r="T11" s="1" t="n">
        <v>5</v>
      </c>
      <c r="U11" s="1" t="n">
        <v>4</v>
      </c>
      <c r="V11" s="1" t="n">
        <v>4</v>
      </c>
      <c r="W11" s="1" t="n">
        <v>4</v>
      </c>
    </row>
    <row r="12" customFormat="false" ht="13.8" hidden="false" customHeight="false" outlineLevel="0" collapsed="false">
      <c r="A12" s="2" t="n">
        <v>10</v>
      </c>
      <c r="B12" s="2" t="n">
        <v>3</v>
      </c>
      <c r="C12" s="2" t="n">
        <v>4</v>
      </c>
      <c r="D12" s="2" t="n">
        <v>2</v>
      </c>
      <c r="E12" s="2" t="n">
        <v>2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4</v>
      </c>
      <c r="N12" s="2" t="n">
        <v>2</v>
      </c>
      <c r="O12" s="2" t="n">
        <v>2</v>
      </c>
      <c r="P12" s="2" t="n">
        <v>1</v>
      </c>
      <c r="Q12" s="2" t="n">
        <v>1</v>
      </c>
      <c r="R12" s="1" t="n">
        <v>1</v>
      </c>
      <c r="S12" s="1" t="n">
        <v>1</v>
      </c>
      <c r="T12" s="1" t="n">
        <v>4</v>
      </c>
      <c r="U12" s="1" t="n">
        <v>4</v>
      </c>
      <c r="V12" s="1" t="n">
        <v>2</v>
      </c>
      <c r="W12" s="1" t="n">
        <v>2</v>
      </c>
    </row>
    <row r="13" customFormat="false" ht="13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5.75" hidden="false" customHeight="true" outlineLevel="0" collapsed="false">
      <c r="A14" s="1" t="s">
        <v>15</v>
      </c>
    </row>
    <row r="15" customFormat="false" ht="15.75" hidden="false" customHeight="true" outlineLevel="0" collapsed="false">
      <c r="A15" s="1" t="s">
        <v>16</v>
      </c>
      <c r="B15" s="1" t="n">
        <v>30</v>
      </c>
      <c r="C15" s="1" t="n">
        <v>70</v>
      </c>
      <c r="D15" s="1" t="n">
        <v>70</v>
      </c>
      <c r="E15" s="1" t="n">
        <v>75</v>
      </c>
      <c r="F15" s="1" t="n">
        <v>30</v>
      </c>
      <c r="G15" s="1" t="n">
        <v>25</v>
      </c>
      <c r="H15" s="1" t="n">
        <v>25</v>
      </c>
      <c r="I15" s="1" t="n">
        <v>60</v>
      </c>
      <c r="J15" s="1" t="n">
        <v>50</v>
      </c>
      <c r="K15" s="1" t="n">
        <v>80</v>
      </c>
      <c r="L15" s="1" t="n">
        <v>20</v>
      </c>
      <c r="M15" s="1" t="n">
        <v>60</v>
      </c>
      <c r="N15" s="1" t="n">
        <v>15</v>
      </c>
      <c r="O15" s="1" t="n">
        <v>10</v>
      </c>
      <c r="P15" s="1" t="n">
        <v>25</v>
      </c>
      <c r="Q15" s="1" t="n">
        <v>65</v>
      </c>
      <c r="R15" s="1" t="n">
        <v>30</v>
      </c>
      <c r="S15" s="1" t="n">
        <v>45</v>
      </c>
      <c r="T15" s="1" t="n">
        <v>65</v>
      </c>
      <c r="U15" s="1" t="n">
        <v>25</v>
      </c>
      <c r="V15" s="1" t="n">
        <v>60</v>
      </c>
      <c r="W15" s="1" t="n">
        <v>65</v>
      </c>
    </row>
    <row r="16" customFormat="false" ht="15.75" hidden="false" customHeight="true" outlineLevel="0" collapsed="false">
      <c r="A16" s="1" t="s">
        <v>17</v>
      </c>
      <c r="B16" s="1" t="n">
        <v>65</v>
      </c>
      <c r="C16" s="1" t="n">
        <v>75</v>
      </c>
      <c r="D16" s="1" t="n">
        <v>15</v>
      </c>
      <c r="E16" s="1" t="n">
        <v>5</v>
      </c>
      <c r="F16" s="1" t="n">
        <v>0</v>
      </c>
      <c r="G16" s="1" t="n">
        <v>0</v>
      </c>
      <c r="H16" s="1" t="n">
        <v>0</v>
      </c>
      <c r="I16" s="1" t="n">
        <v>5</v>
      </c>
      <c r="J16" s="1" t="n">
        <v>15</v>
      </c>
      <c r="K16" s="1" t="n">
        <v>50</v>
      </c>
      <c r="L16" s="1" t="n">
        <v>10</v>
      </c>
      <c r="M16" s="1" t="n">
        <v>25</v>
      </c>
      <c r="N16" s="1" t="n">
        <v>15</v>
      </c>
      <c r="O16" s="1" t="n">
        <v>15</v>
      </c>
      <c r="P16" s="1" t="n">
        <v>35</v>
      </c>
      <c r="Q16" s="1" t="n">
        <v>50</v>
      </c>
      <c r="R16" s="1" t="n">
        <v>15</v>
      </c>
      <c r="S16" s="1" t="n">
        <v>15</v>
      </c>
      <c r="T16" s="1" t="n">
        <v>55</v>
      </c>
      <c r="U16" s="1" t="n">
        <v>25</v>
      </c>
      <c r="V16" s="1" t="n">
        <v>25</v>
      </c>
      <c r="W16" s="1" t="n">
        <v>60</v>
      </c>
    </row>
    <row r="17" customFormat="false" ht="15.75" hidden="false" customHeight="true" outlineLevel="0" collapsed="false">
      <c r="A17" s="1" t="s">
        <v>18</v>
      </c>
      <c r="B17" s="1" t="n">
        <v>40</v>
      </c>
      <c r="C17" s="1" t="n">
        <v>80</v>
      </c>
      <c r="D17" s="1" t="n">
        <v>75</v>
      </c>
      <c r="E17" s="1" t="n">
        <v>80</v>
      </c>
      <c r="F17" s="1" t="n">
        <v>5</v>
      </c>
      <c r="G17" s="1" t="n">
        <v>5</v>
      </c>
      <c r="H17" s="1" t="n">
        <v>60</v>
      </c>
      <c r="I17" s="1" t="n">
        <v>85</v>
      </c>
      <c r="J17" s="1" t="n">
        <v>10</v>
      </c>
      <c r="K17" s="1" t="n">
        <v>5</v>
      </c>
      <c r="L17" s="1" t="n">
        <v>5</v>
      </c>
      <c r="M17" s="1" t="n">
        <v>25</v>
      </c>
      <c r="N17" s="1" t="n">
        <v>15</v>
      </c>
      <c r="O17" s="1" t="n">
        <v>20</v>
      </c>
      <c r="P17" s="1" t="n">
        <v>30</v>
      </c>
      <c r="Q17" s="1" t="n">
        <v>70</v>
      </c>
      <c r="R17" s="1" t="n">
        <v>60</v>
      </c>
      <c r="S17" s="1" t="n">
        <v>40</v>
      </c>
      <c r="T17" s="1" t="n">
        <v>80</v>
      </c>
      <c r="U17" s="1" t="n">
        <v>65</v>
      </c>
      <c r="V17" s="1" t="n">
        <v>65</v>
      </c>
      <c r="W17" s="1" t="n">
        <v>50</v>
      </c>
    </row>
    <row r="18" customFormat="false" ht="15.75" hidden="false" customHeight="true" outlineLevel="0" collapsed="false">
      <c r="A18" s="1" t="s">
        <v>19</v>
      </c>
      <c r="B18" s="1" t="n">
        <v>25</v>
      </c>
      <c r="C18" s="1" t="n">
        <v>45</v>
      </c>
      <c r="D18" s="1" t="n">
        <v>80</v>
      </c>
      <c r="E18" s="1" t="n">
        <v>75</v>
      </c>
      <c r="F18" s="1" t="n">
        <v>0</v>
      </c>
      <c r="G18" s="1" t="n">
        <v>0</v>
      </c>
      <c r="H18" s="1" t="n">
        <v>30</v>
      </c>
      <c r="I18" s="1" t="n">
        <v>80</v>
      </c>
      <c r="J18" s="1" t="n">
        <v>50</v>
      </c>
      <c r="K18" s="1" t="n">
        <v>60</v>
      </c>
      <c r="L18" s="1" t="n">
        <v>25</v>
      </c>
      <c r="M18" s="1" t="n">
        <v>50</v>
      </c>
      <c r="N18" s="1" t="n">
        <v>75</v>
      </c>
      <c r="O18" s="1" t="n">
        <v>75</v>
      </c>
      <c r="P18" s="1" t="n">
        <v>5</v>
      </c>
      <c r="Q18" s="1" t="n">
        <v>20</v>
      </c>
      <c r="R18" s="1" t="n">
        <v>55</v>
      </c>
      <c r="S18" s="1" t="n">
        <v>20</v>
      </c>
      <c r="T18" s="1" t="n">
        <v>90</v>
      </c>
      <c r="U18" s="1" t="n">
        <v>90</v>
      </c>
      <c r="V18" s="1" t="n">
        <v>15</v>
      </c>
      <c r="W18" s="1" t="n">
        <v>10</v>
      </c>
    </row>
    <row r="19" customFormat="false" ht="15.75" hidden="false" customHeight="true" outlineLevel="0" collapsed="false">
      <c r="A19" s="1" t="s">
        <v>20</v>
      </c>
      <c r="B19" s="1" t="n">
        <v>70</v>
      </c>
      <c r="C19" s="1" t="n">
        <v>70</v>
      </c>
      <c r="D19" s="1" t="n">
        <v>60</v>
      </c>
      <c r="E19" s="1" t="n">
        <v>90</v>
      </c>
      <c r="F19" s="1" t="n">
        <v>45</v>
      </c>
      <c r="G19" s="1" t="n">
        <v>70</v>
      </c>
      <c r="H19" s="1" t="n">
        <v>40</v>
      </c>
      <c r="I19" s="1" t="n">
        <v>70</v>
      </c>
      <c r="J19" s="1" t="n">
        <v>85</v>
      </c>
      <c r="K19" s="1" t="n">
        <v>80</v>
      </c>
      <c r="L19" s="1" t="n">
        <v>20</v>
      </c>
      <c r="M19" s="1" t="n">
        <v>50</v>
      </c>
      <c r="N19" s="1" t="n">
        <v>75</v>
      </c>
      <c r="O19" s="1" t="n">
        <v>65</v>
      </c>
      <c r="P19" s="1" t="n">
        <v>35</v>
      </c>
      <c r="Q19" s="1" t="n">
        <v>40</v>
      </c>
      <c r="R19" s="1" t="n">
        <v>30</v>
      </c>
      <c r="S19" s="1" t="n">
        <v>65</v>
      </c>
      <c r="T19" s="1" t="n">
        <v>65</v>
      </c>
      <c r="U19" s="1" t="n">
        <v>85</v>
      </c>
      <c r="V19" s="1" t="n">
        <v>60</v>
      </c>
      <c r="W19" s="1" t="n">
        <v>60</v>
      </c>
    </row>
    <row r="20" customFormat="false" ht="15.75" hidden="false" customHeight="true" outlineLevel="0" collapsed="false">
      <c r="A20" s="1" t="s">
        <v>21</v>
      </c>
      <c r="B20" s="1" t="n">
        <v>65</v>
      </c>
      <c r="C20" s="1" t="n">
        <v>60</v>
      </c>
      <c r="D20" s="1" t="n">
        <v>15</v>
      </c>
      <c r="E20" s="1" t="n">
        <v>70</v>
      </c>
      <c r="F20" s="1" t="n">
        <v>25</v>
      </c>
      <c r="G20" s="1" t="n">
        <v>35</v>
      </c>
      <c r="H20" s="1" t="n">
        <v>35</v>
      </c>
      <c r="I20" s="1" t="n">
        <v>75</v>
      </c>
      <c r="J20" s="1" t="n">
        <v>0</v>
      </c>
      <c r="K20" s="1" t="n">
        <v>0</v>
      </c>
      <c r="L20" s="1" t="n">
        <v>20</v>
      </c>
      <c r="M20" s="1" t="n">
        <v>60</v>
      </c>
      <c r="N20" s="1" t="n">
        <v>60</v>
      </c>
      <c r="O20" s="1" t="n">
        <v>70</v>
      </c>
      <c r="P20" s="1" t="n">
        <v>0</v>
      </c>
      <c r="Q20" s="1" t="n">
        <v>5</v>
      </c>
      <c r="R20" s="1" t="n">
        <v>45</v>
      </c>
      <c r="S20" s="1" t="n">
        <v>35</v>
      </c>
      <c r="T20" s="1" t="n">
        <v>20</v>
      </c>
      <c r="U20" s="1" t="n">
        <v>35</v>
      </c>
      <c r="V20" s="1" t="n">
        <v>45</v>
      </c>
      <c r="W20" s="1" t="n">
        <v>25</v>
      </c>
    </row>
    <row r="21" customFormat="false" ht="15.75" hidden="false" customHeight="true" outlineLevel="0" collapsed="false">
      <c r="A21" s="1" t="s">
        <v>22</v>
      </c>
      <c r="B21" s="3" t="n">
        <f aca="false">SUM(B15:B20)/6</f>
        <v>49.1666666666667</v>
      </c>
      <c r="C21" s="3" t="n">
        <f aca="false">SUM(C15:C20)/6</f>
        <v>66.6666666666667</v>
      </c>
      <c r="D21" s="3" t="n">
        <f aca="false">SUM(D15:D20)/6</f>
        <v>52.5</v>
      </c>
      <c r="E21" s="3" t="n">
        <f aca="false">SUM(E15:E20)/6</f>
        <v>65.8333333333333</v>
      </c>
      <c r="F21" s="3" t="n">
        <f aca="false">SUM(F15:F20)/6</f>
        <v>17.5</v>
      </c>
      <c r="G21" s="3" t="n">
        <f aca="false">SUM(G15:G20)/6</f>
        <v>22.5</v>
      </c>
      <c r="H21" s="3" t="n">
        <f aca="false">SUM(H15:H20)/6</f>
        <v>31.6666666666667</v>
      </c>
      <c r="I21" s="3" t="n">
        <f aca="false">SUM(I15:I20)/6</f>
        <v>62.5</v>
      </c>
      <c r="J21" s="3" t="n">
        <f aca="false">SUM(J15:J20)/6</f>
        <v>35</v>
      </c>
      <c r="K21" s="3" t="n">
        <f aca="false">SUM(K15:K20)/6</f>
        <v>45.8333333333333</v>
      </c>
      <c r="L21" s="3" t="n">
        <f aca="false">SUM(L15:L20)/6</f>
        <v>16.6666666666667</v>
      </c>
      <c r="M21" s="3" t="n">
        <f aca="false">SUM(M15:M20)/6</f>
        <v>45</v>
      </c>
      <c r="N21" s="3" t="n">
        <f aca="false">SUM(N15:N20)/6</f>
        <v>42.5</v>
      </c>
      <c r="O21" s="3" t="n">
        <f aca="false">SUM(O15:O20)/6</f>
        <v>42.5</v>
      </c>
      <c r="P21" s="3" t="n">
        <f aca="false">SUM(P15:P20)/6</f>
        <v>21.6666666666667</v>
      </c>
      <c r="Q21" s="3" t="n">
        <f aca="false">SUM(Q15:Q20)/6</f>
        <v>41.6666666666667</v>
      </c>
      <c r="R21" s="3" t="n">
        <f aca="false">SUM(R15:R20)/6</f>
        <v>39.1666666666667</v>
      </c>
      <c r="S21" s="3" t="n">
        <f aca="false">SUM(S15:S20)/6</f>
        <v>36.6666666666667</v>
      </c>
      <c r="T21" s="3" t="n">
        <f aca="false">SUM(T15:T20)/6</f>
        <v>62.5</v>
      </c>
      <c r="U21" s="3" t="n">
        <f aca="false">SUM(U15:U20)/6</f>
        <v>54.1666666666667</v>
      </c>
      <c r="V21" s="3" t="n">
        <f aca="false">SUM(V15:V20)/6</f>
        <v>45</v>
      </c>
      <c r="W21" s="3" t="n">
        <f aca="false">SUM(W15:W20)/6</f>
        <v>45</v>
      </c>
    </row>
    <row r="23" customFormat="false" ht="15.75" hidden="false" customHeight="true" outlineLevel="0" collapsed="false">
      <c r="A23" s="1" t="s">
        <v>23</v>
      </c>
    </row>
    <row r="24" customFormat="false" ht="15.75" hidden="false" customHeight="true" outlineLevel="0" collapsed="false">
      <c r="A24" s="2" t="s">
        <v>3</v>
      </c>
    </row>
    <row r="25" customFormat="false" ht="15.75" hidden="false" customHeight="true" outlineLevel="0" collapsed="false">
      <c r="A25" s="2" t="n">
        <v>1</v>
      </c>
      <c r="B25" s="1" t="n">
        <f aca="false">B3-1</f>
        <v>3</v>
      </c>
      <c r="C25" s="1" t="n">
        <f aca="false">C3-1</f>
        <v>2</v>
      </c>
      <c r="D25" s="1" t="n">
        <f aca="false">D3-1</f>
        <v>3</v>
      </c>
      <c r="E25" s="1" t="n">
        <f aca="false">E3-1</f>
        <v>2</v>
      </c>
      <c r="F25" s="1" t="n">
        <f aca="false">F3-1</f>
        <v>4</v>
      </c>
      <c r="G25" s="1" t="n">
        <f aca="false">G3-1</f>
        <v>4</v>
      </c>
      <c r="H25" s="1" t="n">
        <f aca="false">H3-1</f>
        <v>3</v>
      </c>
      <c r="I25" s="1" t="n">
        <f aca="false">I3-1</f>
        <v>3</v>
      </c>
      <c r="J25" s="1" t="n">
        <f aca="false">J3-1</f>
        <v>2</v>
      </c>
      <c r="K25" s="1" t="n">
        <f aca="false">K3-1</f>
        <v>4</v>
      </c>
      <c r="L25" s="1" t="n">
        <f aca="false">L3-1</f>
        <v>3</v>
      </c>
      <c r="M25" s="1" t="n">
        <f aca="false">M3-1</f>
        <v>2</v>
      </c>
      <c r="N25" s="1" t="n">
        <f aca="false">N3-1</f>
        <v>3</v>
      </c>
      <c r="O25" s="1" t="n">
        <f aca="false">O3-1</f>
        <v>3</v>
      </c>
      <c r="P25" s="1" t="n">
        <f aca="false">P3-1</f>
        <v>4</v>
      </c>
      <c r="Q25" s="1" t="n">
        <f aca="false">Q3-1</f>
        <v>4</v>
      </c>
      <c r="R25" s="1" t="n">
        <f aca="false">R3-1</f>
        <v>3</v>
      </c>
      <c r="S25" s="1" t="n">
        <f aca="false">S3-1</f>
        <v>3</v>
      </c>
      <c r="T25" s="1" t="n">
        <f aca="false">T3-1</f>
        <v>3</v>
      </c>
      <c r="U25" s="1" t="n">
        <f aca="false">U3-1</f>
        <v>3</v>
      </c>
      <c r="V25" s="1" t="n">
        <f aca="false">V3-1</f>
        <v>4</v>
      </c>
      <c r="W25" s="1" t="n">
        <f aca="false">W3-1</f>
        <v>3</v>
      </c>
    </row>
    <row r="26" customFormat="false" ht="15.75" hidden="false" customHeight="true" outlineLevel="0" collapsed="false">
      <c r="A26" s="2" t="n">
        <v>2</v>
      </c>
      <c r="B26" s="1" t="n">
        <f aca="false">5-B4</f>
        <v>3</v>
      </c>
      <c r="C26" s="1" t="n">
        <f aca="false">5-C4</f>
        <v>3</v>
      </c>
      <c r="D26" s="1" t="n">
        <f aca="false">5-D4</f>
        <v>3</v>
      </c>
      <c r="E26" s="1" t="n">
        <f aca="false">5-E4</f>
        <v>3</v>
      </c>
      <c r="F26" s="1" t="n">
        <f aca="false">5-F4</f>
        <v>4</v>
      </c>
      <c r="G26" s="1" t="n">
        <f aca="false">5-G4</f>
        <v>4</v>
      </c>
      <c r="H26" s="1" t="n">
        <f aca="false">5-H4</f>
        <v>4</v>
      </c>
      <c r="I26" s="1" t="n">
        <f aca="false">5-I4</f>
        <v>4</v>
      </c>
      <c r="J26" s="1" t="n">
        <f aca="false">5-J4</f>
        <v>4</v>
      </c>
      <c r="K26" s="1" t="n">
        <f aca="false">5-K4</f>
        <v>4</v>
      </c>
      <c r="L26" s="1" t="n">
        <f aca="false">5-L4</f>
        <v>3</v>
      </c>
      <c r="M26" s="1" t="n">
        <f aca="false">5-M4</f>
        <v>2</v>
      </c>
      <c r="N26" s="1" t="n">
        <f aca="false">5-N4</f>
        <v>4</v>
      </c>
      <c r="O26" s="1" t="n">
        <f aca="false">5-O4</f>
        <v>4</v>
      </c>
      <c r="P26" s="1" t="n">
        <f aca="false">5-P4</f>
        <v>4</v>
      </c>
      <c r="Q26" s="1" t="n">
        <f aca="false">5-Q4</f>
        <v>4</v>
      </c>
      <c r="R26" s="1" t="n">
        <f aca="false">5-R4</f>
        <v>4</v>
      </c>
      <c r="S26" s="1" t="n">
        <f aca="false">5-S4</f>
        <v>4</v>
      </c>
      <c r="T26" s="1" t="n">
        <f aca="false">5-T4</f>
        <v>3</v>
      </c>
      <c r="U26" s="1" t="n">
        <f aca="false">5-U4</f>
        <v>3</v>
      </c>
      <c r="V26" s="1" t="n">
        <f aca="false">5-V4</f>
        <v>3</v>
      </c>
      <c r="W26" s="1" t="n">
        <f aca="false">5-W4</f>
        <v>3</v>
      </c>
    </row>
    <row r="27" customFormat="false" ht="15.75" hidden="false" customHeight="true" outlineLevel="0" collapsed="false">
      <c r="A27" s="2" t="n">
        <v>3</v>
      </c>
      <c r="B27" s="1" t="n">
        <f aca="false">B5-1</f>
        <v>1</v>
      </c>
      <c r="C27" s="1" t="n">
        <f aca="false">C5-1</f>
        <v>1</v>
      </c>
      <c r="D27" s="1" t="n">
        <f aca="false">D5-1</f>
        <v>1</v>
      </c>
      <c r="E27" s="1" t="n">
        <f aca="false">E5-1</f>
        <v>1</v>
      </c>
      <c r="F27" s="1" t="n">
        <f aca="false">F5-1</f>
        <v>2</v>
      </c>
      <c r="G27" s="1" t="n">
        <f aca="false">G5-1</f>
        <v>2</v>
      </c>
      <c r="H27" s="1" t="n">
        <f aca="false">H5-1</f>
        <v>1</v>
      </c>
      <c r="I27" s="1" t="n">
        <f aca="false">I5-1</f>
        <v>2</v>
      </c>
      <c r="J27" s="1" t="n">
        <f aca="false">J5-1</f>
        <v>2</v>
      </c>
      <c r="K27" s="1" t="n">
        <f aca="false">K5-1</f>
        <v>2</v>
      </c>
      <c r="L27" s="1" t="n">
        <f aca="false">L5-1</f>
        <v>3</v>
      </c>
      <c r="M27" s="1" t="n">
        <f aca="false">M5-1</f>
        <v>2</v>
      </c>
      <c r="N27" s="1" t="n">
        <f aca="false">N5-1</f>
        <v>3</v>
      </c>
      <c r="O27" s="1" t="n">
        <f aca="false">O5-1</f>
        <v>3</v>
      </c>
      <c r="P27" s="1" t="n">
        <f aca="false">P5-1</f>
        <v>2</v>
      </c>
      <c r="Q27" s="1" t="n">
        <f aca="false">Q5-1</f>
        <v>2</v>
      </c>
      <c r="R27" s="1" t="n">
        <f aca="false">R5-1</f>
        <v>2</v>
      </c>
      <c r="S27" s="1" t="n">
        <f aca="false">S5-1</f>
        <v>3</v>
      </c>
      <c r="T27" s="1" t="n">
        <f aca="false">T5-1</f>
        <v>3</v>
      </c>
      <c r="U27" s="1" t="n">
        <f aca="false">U5-1</f>
        <v>3</v>
      </c>
      <c r="V27" s="1" t="n">
        <f aca="false">V5-1</f>
        <v>3</v>
      </c>
      <c r="W27" s="1" t="n">
        <f aca="false">W5-1</f>
        <v>4</v>
      </c>
    </row>
    <row r="28" customFormat="false" ht="15.75" hidden="false" customHeight="true" outlineLevel="0" collapsed="false">
      <c r="A28" s="2" t="n">
        <v>4</v>
      </c>
      <c r="B28" s="1" t="n">
        <f aca="false">5-B6</f>
        <v>1</v>
      </c>
      <c r="C28" s="1" t="n">
        <f aca="false">5-C6</f>
        <v>0</v>
      </c>
      <c r="D28" s="1" t="n">
        <f aca="false">5-D6</f>
        <v>1</v>
      </c>
      <c r="E28" s="1" t="n">
        <f aca="false">5-E6</f>
        <v>1</v>
      </c>
      <c r="F28" s="1" t="n">
        <f aca="false">5-F6</f>
        <v>4</v>
      </c>
      <c r="G28" s="1" t="n">
        <f aca="false">5-G6</f>
        <v>4</v>
      </c>
      <c r="H28" s="1" t="n">
        <f aca="false">5-H6</f>
        <v>1</v>
      </c>
      <c r="I28" s="1" t="n">
        <f aca="false">5-I6</f>
        <v>1</v>
      </c>
      <c r="J28" s="1" t="n">
        <f aca="false">5-J6</f>
        <v>4</v>
      </c>
      <c r="K28" s="1" t="n">
        <f aca="false">5-K6</f>
        <v>4</v>
      </c>
      <c r="L28" s="1" t="n">
        <f aca="false">5-L6</f>
        <v>2</v>
      </c>
      <c r="M28" s="1" t="n">
        <f aca="false">5-M6</f>
        <v>1</v>
      </c>
      <c r="N28" s="1" t="n">
        <f aca="false">5-N6</f>
        <v>1</v>
      </c>
      <c r="O28" s="1" t="n">
        <f aca="false">5-O6</f>
        <v>1</v>
      </c>
      <c r="P28" s="1" t="n">
        <f aca="false">5-P6</f>
        <v>4</v>
      </c>
      <c r="Q28" s="1" t="n">
        <f aca="false">5-Q6</f>
        <v>3</v>
      </c>
      <c r="R28" s="1" t="n">
        <f aca="false">5-R6</f>
        <v>4</v>
      </c>
      <c r="S28" s="1" t="n">
        <f aca="false">5-S6</f>
        <v>4</v>
      </c>
      <c r="T28" s="1" t="n">
        <f aca="false">5-T6</f>
        <v>4</v>
      </c>
      <c r="U28" s="1" t="n">
        <f aca="false">5-U6</f>
        <v>4</v>
      </c>
      <c r="V28" s="1" t="n">
        <f aca="false">5-V6</f>
        <v>4</v>
      </c>
      <c r="W28" s="1" t="n">
        <f aca="false">5-W6</f>
        <v>4</v>
      </c>
    </row>
    <row r="29" customFormat="false" ht="15.75" hidden="false" customHeight="true" outlineLevel="0" collapsed="false">
      <c r="A29" s="2" t="n">
        <v>5</v>
      </c>
      <c r="B29" s="1" t="n">
        <f aca="false">B7-1</f>
        <v>3</v>
      </c>
      <c r="C29" s="1" t="n">
        <f aca="false">C7-1</f>
        <v>2</v>
      </c>
      <c r="D29" s="1" t="n">
        <f aca="false">D7-1</f>
        <v>2</v>
      </c>
      <c r="E29" s="1" t="n">
        <f aca="false">E7-1</f>
        <v>4</v>
      </c>
      <c r="F29" s="1" t="n">
        <f aca="false">F7-1</f>
        <v>4</v>
      </c>
      <c r="G29" s="1" t="n">
        <f aca="false">G7-1</f>
        <v>4</v>
      </c>
      <c r="H29" s="1" t="n">
        <f aca="false">H7-1</f>
        <v>4</v>
      </c>
      <c r="I29" s="1" t="n">
        <f aca="false">I7-1</f>
        <v>4</v>
      </c>
      <c r="J29" s="1" t="n">
        <f aca="false">J7-1</f>
        <v>3</v>
      </c>
      <c r="K29" s="1" t="n">
        <f aca="false">K7-1</f>
        <v>3</v>
      </c>
      <c r="L29" s="1" t="n">
        <f aca="false">L7-1</f>
        <v>2</v>
      </c>
      <c r="M29" s="1" t="n">
        <f aca="false">M7-1</f>
        <v>3</v>
      </c>
      <c r="N29" s="1" t="n">
        <f aca="false">N7-1</f>
        <v>4</v>
      </c>
      <c r="O29" s="1" t="n">
        <f aca="false">O7-1</f>
        <v>4</v>
      </c>
      <c r="P29" s="1" t="n">
        <f aca="false">P7-1</f>
        <v>3</v>
      </c>
      <c r="Q29" s="1" t="n">
        <f aca="false">Q7-1</f>
        <v>3</v>
      </c>
      <c r="R29" s="1" t="n">
        <f aca="false">R7-1</f>
        <v>4</v>
      </c>
      <c r="S29" s="1" t="n">
        <f aca="false">S7-1</f>
        <v>4</v>
      </c>
      <c r="T29" s="1" t="n">
        <f aca="false">T7-1</f>
        <v>4</v>
      </c>
      <c r="U29" s="1" t="n">
        <f aca="false">U7-1</f>
        <v>4</v>
      </c>
      <c r="V29" s="1" t="n">
        <f aca="false">V7-1</f>
        <v>4</v>
      </c>
      <c r="W29" s="1" t="n">
        <f aca="false">W7-1</f>
        <v>4</v>
      </c>
    </row>
    <row r="30" customFormat="false" ht="15.75" hidden="false" customHeight="true" outlineLevel="0" collapsed="false">
      <c r="A30" s="2" t="n">
        <v>6</v>
      </c>
      <c r="B30" s="1" t="n">
        <f aca="false">5-B8</f>
        <v>4</v>
      </c>
      <c r="C30" s="1" t="n">
        <f aca="false">5-C8</f>
        <v>4</v>
      </c>
      <c r="D30" s="1" t="n">
        <f aca="false">5-D8</f>
        <v>4</v>
      </c>
      <c r="E30" s="1" t="n">
        <f aca="false">5-E8</f>
        <v>4</v>
      </c>
      <c r="F30" s="1" t="n">
        <f aca="false">5-F8</f>
        <v>4</v>
      </c>
      <c r="G30" s="1" t="n">
        <f aca="false">5-G8</f>
        <v>4</v>
      </c>
      <c r="H30" s="1" t="n">
        <f aca="false">5-H8</f>
        <v>4</v>
      </c>
      <c r="I30" s="1" t="n">
        <f aca="false">5-I8</f>
        <v>4</v>
      </c>
      <c r="J30" s="1" t="n">
        <f aca="false">5-J8</f>
        <v>4</v>
      </c>
      <c r="K30" s="1" t="n">
        <f aca="false">5-K8</f>
        <v>4</v>
      </c>
      <c r="L30" s="1" t="n">
        <f aca="false">5-L8</f>
        <v>3</v>
      </c>
      <c r="M30" s="1" t="n">
        <f aca="false">5-M8</f>
        <v>3</v>
      </c>
      <c r="N30" s="1" t="n">
        <f aca="false">5-N8</f>
        <v>3</v>
      </c>
      <c r="O30" s="1" t="n">
        <f aca="false">5-O8</f>
        <v>3</v>
      </c>
      <c r="P30" s="1" t="n">
        <f aca="false">5-P8</f>
        <v>4</v>
      </c>
      <c r="Q30" s="1" t="n">
        <f aca="false">5-Q8</f>
        <v>4</v>
      </c>
      <c r="R30" s="1" t="n">
        <f aca="false">5-R8</f>
        <v>4</v>
      </c>
      <c r="S30" s="1" t="n">
        <f aca="false">5-S8</f>
        <v>4</v>
      </c>
      <c r="T30" s="1" t="n">
        <f aca="false">5-T8</f>
        <v>3</v>
      </c>
      <c r="U30" s="1" t="n">
        <f aca="false">5-U8</f>
        <v>2</v>
      </c>
      <c r="V30" s="1" t="n">
        <f aca="false">5-V8</f>
        <v>4</v>
      </c>
      <c r="W30" s="1" t="n">
        <f aca="false">5-W8</f>
        <v>4</v>
      </c>
    </row>
    <row r="31" customFormat="false" ht="15.75" hidden="false" customHeight="true" outlineLevel="0" collapsed="false">
      <c r="A31" s="2" t="n">
        <v>7</v>
      </c>
      <c r="B31" s="1" t="n">
        <f aca="false">B9-1</f>
        <v>2</v>
      </c>
      <c r="C31" s="1" t="n">
        <f aca="false">C9-1</f>
        <v>1</v>
      </c>
      <c r="D31" s="1" t="n">
        <f aca="false">D9-1</f>
        <v>2</v>
      </c>
      <c r="E31" s="1" t="n">
        <f aca="false">E9-1</f>
        <v>1</v>
      </c>
      <c r="F31" s="1" t="n">
        <f aca="false">F9-1</f>
        <v>2</v>
      </c>
      <c r="G31" s="1" t="n">
        <f aca="false">G9-1</f>
        <v>2</v>
      </c>
      <c r="H31" s="1" t="n">
        <f aca="false">H9-1</f>
        <v>2</v>
      </c>
      <c r="I31" s="1" t="n">
        <f aca="false">I9-1</f>
        <v>2</v>
      </c>
      <c r="J31" s="1" t="n">
        <f aca="false">J9-1</f>
        <v>2</v>
      </c>
      <c r="K31" s="1" t="n">
        <f aca="false">K9-1</f>
        <v>4</v>
      </c>
      <c r="L31" s="1" t="n">
        <f aca="false">L9-1</f>
        <v>2</v>
      </c>
      <c r="M31" s="1" t="n">
        <f aca="false">M9-1</f>
        <v>1</v>
      </c>
      <c r="N31" s="1" t="n">
        <f aca="false">N9-1</f>
        <v>4</v>
      </c>
      <c r="O31" s="1" t="n">
        <f aca="false">O9-1</f>
        <v>4</v>
      </c>
      <c r="P31" s="1" t="n">
        <f aca="false">P9-1</f>
        <v>4</v>
      </c>
      <c r="Q31" s="1" t="n">
        <f aca="false">Q9-1</f>
        <v>4</v>
      </c>
      <c r="R31" s="1" t="n">
        <f aca="false">R9-1</f>
        <v>2</v>
      </c>
      <c r="S31" s="1" t="n">
        <f aca="false">S9-1</f>
        <v>3</v>
      </c>
      <c r="T31" s="1" t="n">
        <f aca="false">T9-1</f>
        <v>2</v>
      </c>
      <c r="U31" s="1" t="n">
        <f aca="false">U9-1</f>
        <v>1</v>
      </c>
      <c r="V31" s="1" t="n">
        <f aca="false">V9-1</f>
        <v>3</v>
      </c>
      <c r="W31" s="1" t="n">
        <f aca="false">W9-1</f>
        <v>0</v>
      </c>
    </row>
    <row r="32" customFormat="false" ht="15.75" hidden="false" customHeight="true" outlineLevel="0" collapsed="false">
      <c r="A32" s="2" t="n">
        <v>8</v>
      </c>
      <c r="B32" s="1" t="n">
        <f aca="false">5-B10</f>
        <v>2</v>
      </c>
      <c r="C32" s="1" t="n">
        <f aca="false">5-C10</f>
        <v>1</v>
      </c>
      <c r="D32" s="1" t="n">
        <f aca="false">5-D10</f>
        <v>2</v>
      </c>
      <c r="E32" s="1" t="n">
        <f aca="false">5-E10</f>
        <v>2</v>
      </c>
      <c r="F32" s="1" t="n">
        <f aca="false">5-F10</f>
        <v>2</v>
      </c>
      <c r="G32" s="1" t="n">
        <f aca="false">5-G10</f>
        <v>3</v>
      </c>
      <c r="H32" s="1" t="n">
        <f aca="false">5-H10</f>
        <v>2</v>
      </c>
      <c r="I32" s="1" t="n">
        <f aca="false">5-I10</f>
        <v>2</v>
      </c>
      <c r="J32" s="1" t="n">
        <f aca="false">5-J10</f>
        <v>2</v>
      </c>
      <c r="K32" s="1" t="n">
        <f aca="false">5-K10</f>
        <v>3</v>
      </c>
      <c r="L32" s="1" t="n">
        <f aca="false">5-L10</f>
        <v>1</v>
      </c>
      <c r="M32" s="1" t="n">
        <f aca="false">5-M10</f>
        <v>2</v>
      </c>
      <c r="N32" s="1" t="n">
        <f aca="false">5-N10</f>
        <v>3</v>
      </c>
      <c r="O32" s="1" t="n">
        <f aca="false">5-O10</f>
        <v>3</v>
      </c>
      <c r="P32" s="1" t="n">
        <f aca="false">5-P10</f>
        <v>1</v>
      </c>
      <c r="Q32" s="1" t="n">
        <f aca="false">5-Q10</f>
        <v>2</v>
      </c>
      <c r="R32" s="1" t="n">
        <f aca="false">5-R10</f>
        <v>2</v>
      </c>
      <c r="S32" s="1" t="n">
        <f aca="false">5-S10</f>
        <v>2</v>
      </c>
      <c r="T32" s="1" t="n">
        <f aca="false">5-T10</f>
        <v>3</v>
      </c>
      <c r="U32" s="1" t="n">
        <f aca="false">5-U10</f>
        <v>2</v>
      </c>
      <c r="V32" s="1" t="n">
        <f aca="false">5-V10</f>
        <v>3</v>
      </c>
      <c r="W32" s="1" t="n">
        <f aca="false">5-W10</f>
        <v>3</v>
      </c>
    </row>
    <row r="33" customFormat="false" ht="15.75" hidden="false" customHeight="true" outlineLevel="0" collapsed="false">
      <c r="A33" s="2" t="n">
        <v>9</v>
      </c>
      <c r="B33" s="1" t="n">
        <f aca="false">B11-1</f>
        <v>1</v>
      </c>
      <c r="C33" s="1" t="n">
        <f aca="false">C11-1</f>
        <v>1</v>
      </c>
      <c r="D33" s="1" t="n">
        <f aca="false">D11-1</f>
        <v>1</v>
      </c>
      <c r="E33" s="1" t="n">
        <f aca="false">E11-1</f>
        <v>1</v>
      </c>
      <c r="F33" s="1" t="n">
        <f aca="false">F11-1</f>
        <v>3</v>
      </c>
      <c r="G33" s="1" t="n">
        <f aca="false">G11-1</f>
        <v>4</v>
      </c>
      <c r="H33" s="1" t="n">
        <f aca="false">H11-1</f>
        <v>1</v>
      </c>
      <c r="I33" s="1" t="n">
        <f aca="false">I11-1</f>
        <v>1</v>
      </c>
      <c r="J33" s="1" t="n">
        <f aca="false">J11-1</f>
        <v>1</v>
      </c>
      <c r="K33" s="1" t="n">
        <f aca="false">K11-1</f>
        <v>2</v>
      </c>
      <c r="L33" s="1" t="n">
        <f aca="false">L11-1</f>
        <v>3</v>
      </c>
      <c r="M33" s="1" t="n">
        <f aca="false">M11-1</f>
        <v>2</v>
      </c>
      <c r="N33" s="1" t="n">
        <f aca="false">N11-1</f>
        <v>2</v>
      </c>
      <c r="O33" s="1" t="n">
        <f aca="false">O11-1</f>
        <v>2</v>
      </c>
      <c r="P33" s="1" t="n">
        <f aca="false">P11-1</f>
        <v>3</v>
      </c>
      <c r="Q33" s="1" t="n">
        <f aca="false">Q11-1</f>
        <v>3</v>
      </c>
      <c r="R33" s="1" t="n">
        <f aca="false">R11-1</f>
        <v>2</v>
      </c>
      <c r="S33" s="1" t="n">
        <f aca="false">S11-1</f>
        <v>3</v>
      </c>
      <c r="T33" s="1" t="n">
        <f aca="false">T11-1</f>
        <v>4</v>
      </c>
      <c r="U33" s="1" t="n">
        <f aca="false">U11-1</f>
        <v>3</v>
      </c>
      <c r="V33" s="1" t="n">
        <f aca="false">V11-1</f>
        <v>3</v>
      </c>
      <c r="W33" s="1" t="n">
        <f aca="false">W11-1</f>
        <v>3</v>
      </c>
    </row>
    <row r="34" customFormat="false" ht="15.75" hidden="false" customHeight="true" outlineLevel="0" collapsed="false">
      <c r="A34" s="2" t="n">
        <v>10</v>
      </c>
      <c r="B34" s="1" t="n">
        <f aca="false">5-B12</f>
        <v>2</v>
      </c>
      <c r="C34" s="1" t="n">
        <f aca="false">5-C12</f>
        <v>1</v>
      </c>
      <c r="D34" s="1" t="n">
        <f aca="false">5-D12</f>
        <v>3</v>
      </c>
      <c r="E34" s="1" t="n">
        <f aca="false">5-E12</f>
        <v>3</v>
      </c>
      <c r="F34" s="1" t="n">
        <f aca="false">5-F12</f>
        <v>4</v>
      </c>
      <c r="G34" s="1" t="n">
        <f aca="false">5-G12</f>
        <v>4</v>
      </c>
      <c r="H34" s="1" t="n">
        <f aca="false">5-H12</f>
        <v>4</v>
      </c>
      <c r="I34" s="1" t="n">
        <f aca="false">5-I12</f>
        <v>4</v>
      </c>
      <c r="J34" s="1" t="n">
        <f aca="false">5-J12</f>
        <v>4</v>
      </c>
      <c r="K34" s="1" t="n">
        <f aca="false">5-K12</f>
        <v>4</v>
      </c>
      <c r="L34" s="1" t="n">
        <f aca="false">5-L12</f>
        <v>4</v>
      </c>
      <c r="M34" s="1" t="n">
        <f aca="false">5-M12</f>
        <v>1</v>
      </c>
      <c r="N34" s="1" t="n">
        <f aca="false">5-N12</f>
        <v>3</v>
      </c>
      <c r="O34" s="1" t="n">
        <f aca="false">5-O12</f>
        <v>3</v>
      </c>
      <c r="P34" s="1" t="n">
        <f aca="false">5-P12</f>
        <v>4</v>
      </c>
      <c r="Q34" s="1" t="n">
        <f aca="false">5-Q12</f>
        <v>4</v>
      </c>
      <c r="R34" s="1" t="n">
        <f aca="false">5-R12</f>
        <v>4</v>
      </c>
      <c r="S34" s="1" t="n">
        <f aca="false">5-S12</f>
        <v>4</v>
      </c>
      <c r="T34" s="1" t="n">
        <f aca="false">5-T12</f>
        <v>1</v>
      </c>
      <c r="U34" s="1" t="n">
        <f aca="false">5-U12</f>
        <v>1</v>
      </c>
      <c r="V34" s="1" t="n">
        <f aca="false">5-V12</f>
        <v>3</v>
      </c>
      <c r="W34" s="1" t="n">
        <f aca="false">5-W12</f>
        <v>3</v>
      </c>
    </row>
    <row r="35" customFormat="false" ht="15.75" hidden="false" customHeight="true" outlineLevel="0" collapsed="false">
      <c r="A35" s="1" t="s">
        <v>24</v>
      </c>
      <c r="B35" s="1" t="n">
        <f aca="false">2.5*SUM(B25:B34)</f>
        <v>55</v>
      </c>
      <c r="C35" s="1" t="n">
        <f aca="false">2.5*SUM(C25:C34)</f>
        <v>40</v>
      </c>
      <c r="D35" s="1" t="n">
        <f aca="false">2.5*SUM(D25:D34)</f>
        <v>55</v>
      </c>
      <c r="E35" s="1" t="n">
        <f aca="false">2.5*SUM(E25:E34)</f>
        <v>55</v>
      </c>
      <c r="F35" s="1" t="n">
        <f aca="false">2.5*SUM(F25:F34)</f>
        <v>82.5</v>
      </c>
      <c r="G35" s="1" t="n">
        <f aca="false">2.5*SUM(G25:G34)</f>
        <v>87.5</v>
      </c>
      <c r="H35" s="1" t="n">
        <f aca="false">2.5*SUM(H25:H34)</f>
        <v>65</v>
      </c>
      <c r="I35" s="1" t="n">
        <f aca="false">2.5*SUM(I25:I34)</f>
        <v>67.5</v>
      </c>
      <c r="J35" s="1" t="n">
        <f aca="false">2.5*SUM(J25:J34)</f>
        <v>70</v>
      </c>
      <c r="K35" s="1" t="n">
        <f aca="false">2.5*SUM(K25:K34)</f>
        <v>85</v>
      </c>
      <c r="L35" s="1" t="n">
        <f aca="false">2.5*SUM(L25:L34)</f>
        <v>65</v>
      </c>
      <c r="M35" s="1" t="n">
        <f aca="false">2.5*SUM(M25:M34)</f>
        <v>47.5</v>
      </c>
      <c r="N35" s="1" t="n">
        <f aca="false">2.5*SUM(N25:N34)</f>
        <v>75</v>
      </c>
      <c r="O35" s="1" t="n">
        <f aca="false">2.5*SUM(O25:O34)</f>
        <v>75</v>
      </c>
      <c r="P35" s="1" t="n">
        <f aca="false">2.5*SUM(P25:P34)</f>
        <v>82.5</v>
      </c>
      <c r="Q35" s="1" t="n">
        <f aca="false">2.5*SUM(Q25:Q34)</f>
        <v>82.5</v>
      </c>
      <c r="R35" s="1" t="n">
        <f aca="false">2.5*SUM(R25:R34)</f>
        <v>77.5</v>
      </c>
      <c r="S35" s="1" t="n">
        <f aca="false">2.5*SUM(S25:S34)</f>
        <v>85</v>
      </c>
      <c r="T35" s="1" t="n">
        <f aca="false">2.5*SUM(T25:T34)</f>
        <v>75</v>
      </c>
      <c r="U35" s="1" t="n">
        <f aca="false">2.5*SUM(U25:U34)</f>
        <v>65</v>
      </c>
      <c r="V35" s="1" t="n">
        <f aca="false">2.5*SUM(V25:V34)</f>
        <v>85</v>
      </c>
      <c r="W35" s="1" t="n">
        <f aca="false">2.5*SUM(W25:W34)</f>
        <v>77.5</v>
      </c>
    </row>
    <row r="37" customFormat="false" ht="15.75" hidden="false" customHeight="true" outlineLevel="0" collapsed="false">
      <c r="B37" s="1" t="s">
        <v>1</v>
      </c>
      <c r="C37" s="1" t="s">
        <v>2</v>
      </c>
    </row>
    <row r="38" customFormat="false" ht="15.75" hidden="false" customHeight="true" outlineLevel="0" collapsed="false">
      <c r="A38" s="1" t="s">
        <v>25</v>
      </c>
      <c r="B38" s="3" t="n">
        <f aca="false">B21</f>
        <v>49.1666666666667</v>
      </c>
      <c r="C38" s="3" t="n">
        <f aca="false">C21</f>
        <v>66.6666666666667</v>
      </c>
    </row>
    <row r="39" customFormat="false" ht="15.75" hidden="false" customHeight="true" outlineLevel="0" collapsed="false">
      <c r="B39" s="3" t="n">
        <f aca="false">D21</f>
        <v>52.5</v>
      </c>
      <c r="C39" s="3" t="n">
        <f aca="false">E21</f>
        <v>65.8333333333333</v>
      </c>
    </row>
    <row r="40" customFormat="false" ht="15.75" hidden="false" customHeight="true" outlineLevel="0" collapsed="false">
      <c r="B40" s="3" t="n">
        <f aca="false">F21</f>
        <v>17.5</v>
      </c>
      <c r="C40" s="3" t="n">
        <f aca="false">G21</f>
        <v>22.5</v>
      </c>
    </row>
    <row r="41" customFormat="false" ht="15.75" hidden="false" customHeight="true" outlineLevel="0" collapsed="false">
      <c r="B41" s="3" t="n">
        <f aca="false">H21</f>
        <v>31.6666666666667</v>
      </c>
      <c r="C41" s="3" t="n">
        <f aca="false">I21</f>
        <v>62.5</v>
      </c>
    </row>
    <row r="42" customFormat="false" ht="15.75" hidden="false" customHeight="true" outlineLevel="0" collapsed="false">
      <c r="B42" s="3" t="n">
        <f aca="false">J21</f>
        <v>35</v>
      </c>
      <c r="C42" s="3" t="n">
        <f aca="false">K21</f>
        <v>45.8333333333333</v>
      </c>
    </row>
    <row r="43" customFormat="false" ht="15.75" hidden="false" customHeight="true" outlineLevel="0" collapsed="false">
      <c r="B43" s="3" t="n">
        <f aca="false">L21</f>
        <v>16.6666666666667</v>
      </c>
      <c r="C43" s="3" t="n">
        <f aca="false">M21</f>
        <v>45</v>
      </c>
    </row>
    <row r="44" customFormat="false" ht="15.75" hidden="false" customHeight="true" outlineLevel="0" collapsed="false">
      <c r="B44" s="3" t="n">
        <f aca="false">N21</f>
        <v>42.5</v>
      </c>
      <c r="C44" s="3" t="n">
        <f aca="false">O21</f>
        <v>42.5</v>
      </c>
    </row>
    <row r="45" customFormat="false" ht="15.75" hidden="false" customHeight="true" outlineLevel="0" collapsed="false">
      <c r="B45" s="3" t="n">
        <f aca="false">P21</f>
        <v>21.6666666666667</v>
      </c>
      <c r="C45" s="3" t="n">
        <f aca="false">Q21</f>
        <v>41.6666666666667</v>
      </c>
    </row>
    <row r="46" customFormat="false" ht="15.75" hidden="false" customHeight="true" outlineLevel="0" collapsed="false">
      <c r="B46" s="3" t="n">
        <f aca="false">R21</f>
        <v>39.1666666666667</v>
      </c>
      <c r="C46" s="3" t="n">
        <f aca="false">S21</f>
        <v>36.6666666666667</v>
      </c>
    </row>
    <row r="47" customFormat="false" ht="15.75" hidden="false" customHeight="true" outlineLevel="0" collapsed="false">
      <c r="B47" s="3" t="n">
        <f aca="false">T21</f>
        <v>62.5</v>
      </c>
      <c r="C47" s="3" t="n">
        <f aca="false">U21</f>
        <v>54.1666666666667</v>
      </c>
    </row>
    <row r="48" customFormat="false" ht="15.75" hidden="false" customHeight="true" outlineLevel="0" collapsed="false">
      <c r="B48" s="3" t="n">
        <f aca="false">V21</f>
        <v>45</v>
      </c>
      <c r="C48" s="3" t="n">
        <f aca="false">W21</f>
        <v>45</v>
      </c>
    </row>
    <row r="49" customFormat="false" ht="15.75" hidden="false" customHeight="true" outlineLevel="0" collapsed="false">
      <c r="B49" s="3"/>
      <c r="C49" s="3"/>
    </row>
    <row r="50" customFormat="false" ht="15.75" hidden="false" customHeight="true" outlineLevel="0" collapsed="false">
      <c r="B50" s="3" t="s">
        <v>26</v>
      </c>
      <c r="C50" s="3" t="n">
        <v>4</v>
      </c>
    </row>
    <row r="51" customFormat="false" ht="15.75" hidden="false" customHeight="true" outlineLevel="0" collapsed="false">
      <c r="B51" s="3" t="s">
        <v>27</v>
      </c>
      <c r="C51" s="4" t="n">
        <v>9</v>
      </c>
    </row>
    <row r="52" customFormat="false" ht="15.75" hidden="false" customHeight="true" outlineLevel="0" collapsed="false">
      <c r="B52" s="3" t="s">
        <v>28</v>
      </c>
      <c r="C52" s="3" t="n">
        <v>0.05</v>
      </c>
    </row>
    <row r="53" customFormat="false" ht="15.75" hidden="false" customHeight="true" outlineLevel="0" collapsed="false">
      <c r="B53" s="3" t="s">
        <v>29</v>
      </c>
      <c r="C53" s="3" t="n">
        <v>5</v>
      </c>
    </row>
    <row r="54" customFormat="false" ht="15.75" hidden="false" customHeight="true" outlineLevel="0" collapsed="false">
      <c r="B54" s="3" t="s">
        <v>30</v>
      </c>
      <c r="C54" s="5" t="s">
        <v>31</v>
      </c>
    </row>
    <row r="56" customFormat="false" ht="15.75" hidden="false" customHeight="true" outlineLevel="0" collapsed="false">
      <c r="A56" s="1" t="s">
        <v>32</v>
      </c>
      <c r="B56" s="1" t="n">
        <f aca="false">B35</f>
        <v>55</v>
      </c>
      <c r="C56" s="1" t="n">
        <f aca="false">C35</f>
        <v>40</v>
      </c>
    </row>
    <row r="57" customFormat="false" ht="15.75" hidden="false" customHeight="true" outlineLevel="0" collapsed="false">
      <c r="B57" s="1" t="n">
        <f aca="false">D35</f>
        <v>55</v>
      </c>
      <c r="C57" s="1" t="n">
        <f aca="false">E35</f>
        <v>55</v>
      </c>
    </row>
    <row r="58" customFormat="false" ht="15.75" hidden="false" customHeight="true" outlineLevel="0" collapsed="false">
      <c r="B58" s="1" t="n">
        <f aca="false">F35</f>
        <v>82.5</v>
      </c>
      <c r="C58" s="1" t="n">
        <f aca="false">G35</f>
        <v>87.5</v>
      </c>
    </row>
    <row r="59" customFormat="false" ht="15.75" hidden="false" customHeight="true" outlineLevel="0" collapsed="false">
      <c r="B59" s="1" t="n">
        <f aca="false">H35</f>
        <v>65</v>
      </c>
      <c r="C59" s="1" t="n">
        <f aca="false">I35</f>
        <v>67.5</v>
      </c>
    </row>
    <row r="60" customFormat="false" ht="15.75" hidden="false" customHeight="true" outlineLevel="0" collapsed="false">
      <c r="B60" s="1" t="n">
        <f aca="false">J35</f>
        <v>70</v>
      </c>
      <c r="C60" s="1" t="n">
        <f aca="false">K35</f>
        <v>85</v>
      </c>
    </row>
    <row r="61" customFormat="false" ht="15.75" hidden="false" customHeight="true" outlineLevel="0" collapsed="false">
      <c r="B61" s="1" t="n">
        <f aca="false">L35</f>
        <v>65</v>
      </c>
      <c r="C61" s="1" t="n">
        <f aca="false">M35</f>
        <v>47.5</v>
      </c>
    </row>
    <row r="62" customFormat="false" ht="15.75" hidden="false" customHeight="true" outlineLevel="0" collapsed="false">
      <c r="B62" s="1" t="n">
        <f aca="false">N35</f>
        <v>75</v>
      </c>
      <c r="C62" s="1" t="n">
        <f aca="false">O35</f>
        <v>75</v>
      </c>
    </row>
    <row r="63" customFormat="false" ht="15.75" hidden="false" customHeight="true" outlineLevel="0" collapsed="false">
      <c r="B63" s="1" t="n">
        <f aca="false">P35</f>
        <v>82.5</v>
      </c>
      <c r="C63" s="1" t="n">
        <f aca="false">Q35</f>
        <v>82.5</v>
      </c>
    </row>
    <row r="64" customFormat="false" ht="15.75" hidden="false" customHeight="true" outlineLevel="0" collapsed="false">
      <c r="B64" s="1" t="n">
        <f aca="false">R35</f>
        <v>77.5</v>
      </c>
      <c r="C64" s="1" t="n">
        <f aca="false">S35</f>
        <v>85</v>
      </c>
    </row>
    <row r="65" customFormat="false" ht="15.75" hidden="false" customHeight="true" outlineLevel="0" collapsed="false">
      <c r="B65" s="1" t="n">
        <f aca="false">T35</f>
        <v>75</v>
      </c>
      <c r="C65" s="1" t="n">
        <f aca="false">U35</f>
        <v>65</v>
      </c>
    </row>
    <row r="66" customFormat="false" ht="15.75" hidden="false" customHeight="true" outlineLevel="0" collapsed="false">
      <c r="B66" s="1" t="n">
        <f aca="false">V35</f>
        <v>85</v>
      </c>
      <c r="C66" s="1" t="n">
        <f aca="false">W35</f>
        <v>77.5</v>
      </c>
    </row>
    <row r="68" customFormat="false" ht="15.75" hidden="false" customHeight="true" outlineLevel="0" collapsed="false">
      <c r="B68" s="3" t="s">
        <v>26</v>
      </c>
      <c r="C68" s="3" t="n">
        <v>13</v>
      </c>
    </row>
    <row r="69" customFormat="false" ht="15.75" hidden="false" customHeight="true" outlineLevel="0" collapsed="false">
      <c r="B69" s="3" t="s">
        <v>27</v>
      </c>
      <c r="C69" s="4" t="n">
        <v>8</v>
      </c>
    </row>
    <row r="70" customFormat="false" ht="15.75" hidden="false" customHeight="true" outlineLevel="0" collapsed="false">
      <c r="B70" s="3" t="s">
        <v>28</v>
      </c>
      <c r="C70" s="3" t="n">
        <v>0.05</v>
      </c>
    </row>
    <row r="71" customFormat="false" ht="15.75" hidden="false" customHeight="true" outlineLevel="0" collapsed="false">
      <c r="B71" s="3" t="s">
        <v>29</v>
      </c>
      <c r="C71" s="3" t="n">
        <v>3</v>
      </c>
    </row>
    <row r="72" customFormat="false" ht="15.75" hidden="false" customHeight="true" outlineLevel="0" collapsed="false">
      <c r="B72" s="3" t="s">
        <v>30</v>
      </c>
      <c r="C72" s="5" t="s">
        <v>33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2025-03-04T18:16:43Z</dcterms:modified>
  <cp:revision>16</cp:revision>
  <dc:subject/>
  <dc:title/>
</cp:coreProperties>
</file>